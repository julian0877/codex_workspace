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codex_workspace\qcdcal\"/>
    </mc:Choice>
  </mc:AlternateContent>
  <xr:revisionPtr revIDLastSave="0" documentId="13_ncr:1_{D9A3C34F-40B7-47C0-A595-091887316FBE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汽车吊抗倾覆验算" sheetId="2" r:id="rId1"/>
    <sheet name="汽车吊支腿反力计算表格修正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6" l="1"/>
  <c r="F19" i="6" s="1"/>
  <c r="F15" i="6"/>
  <c r="F14" i="6"/>
  <c r="G22" i="2"/>
  <c r="G18" i="2"/>
  <c r="G19" i="2"/>
  <c r="G9" i="2"/>
  <c r="G20" i="2" s="1"/>
  <c r="F18" i="6" l="1"/>
  <c r="F20" i="6" s="1"/>
  <c r="F21" i="6"/>
  <c r="G21" i="2"/>
  <c r="F25" i="6" l="1"/>
  <c r="F23" i="6"/>
  <c r="F22" i="6"/>
  <c r="F24" i="6"/>
  <c r="F28" i="6" l="1"/>
  <c r="F27" i="6" s="1"/>
</calcChain>
</file>

<file path=xl/sharedStrings.xml><?xml version="1.0" encoding="utf-8"?>
<sst xmlns="http://schemas.openxmlformats.org/spreadsheetml/2006/main" count="144" uniqueCount="102">
  <si>
    <t>汽车吊自重</t>
    <phoneticPr fontId="2" type="noConversion"/>
  </si>
  <si>
    <t>G0</t>
    <phoneticPr fontId="2" type="noConversion"/>
  </si>
  <si>
    <t>符号</t>
    <phoneticPr fontId="2" type="noConversion"/>
  </si>
  <si>
    <t>数值</t>
    <phoneticPr fontId="2" type="noConversion"/>
  </si>
  <si>
    <t>单位</t>
    <phoneticPr fontId="2" type="noConversion"/>
  </si>
  <si>
    <t>名称</t>
    <phoneticPr fontId="2" type="noConversion"/>
  </si>
  <si>
    <t>起吊构件最大重量</t>
    <phoneticPr fontId="2" type="noConversion"/>
  </si>
  <si>
    <t>G1</t>
    <phoneticPr fontId="2" type="noConversion"/>
  </si>
  <si>
    <t>起吊作业半径</t>
  </si>
  <si>
    <t>L1</t>
    <phoneticPr fontId="2" type="noConversion"/>
  </si>
  <si>
    <t>A</t>
    <phoneticPr fontId="2" type="noConversion"/>
  </si>
  <si>
    <t>B</t>
    <phoneticPr fontId="2" type="noConversion"/>
  </si>
  <si>
    <t>支腿横向距离</t>
    <phoneticPr fontId="2" type="noConversion"/>
  </si>
  <si>
    <t>配重</t>
  </si>
  <si>
    <t>G2</t>
    <phoneticPr fontId="2" type="noConversion"/>
  </si>
  <si>
    <t>总竖向力</t>
    <phoneticPr fontId="2" type="noConversion"/>
  </si>
  <si>
    <t>F</t>
    <phoneticPr fontId="2" type="noConversion"/>
  </si>
  <si>
    <t>t</t>
    <phoneticPr fontId="2" type="noConversion"/>
  </si>
  <si>
    <t>m</t>
    <phoneticPr fontId="2" type="noConversion"/>
  </si>
  <si>
    <t>KN</t>
    <phoneticPr fontId="2" type="noConversion"/>
  </si>
  <si>
    <t>重力加速度</t>
    <phoneticPr fontId="2" type="noConversion"/>
  </si>
  <si>
    <t>g</t>
    <phoneticPr fontId="2" type="noConversion"/>
  </si>
  <si>
    <r>
      <t>m/s</t>
    </r>
    <r>
      <rPr>
        <vertAlign val="superscript"/>
        <sz val="11"/>
        <color theme="1"/>
        <rFont val="宋体"/>
        <family val="3"/>
        <charset val="134"/>
      </rPr>
      <t>2</t>
    </r>
    <phoneticPr fontId="2" type="noConversion"/>
  </si>
  <si>
    <t>总弯矩</t>
    <phoneticPr fontId="2" type="noConversion"/>
  </si>
  <si>
    <t>M</t>
    <phoneticPr fontId="2" type="noConversion"/>
  </si>
  <si>
    <t>配重至回转中心距离</t>
    <phoneticPr fontId="2" type="noConversion"/>
  </si>
  <si>
    <r>
      <t>KN</t>
    </r>
    <r>
      <rPr>
        <sz val="11"/>
        <color theme="1"/>
        <rFont val="Arial Unicode MS"/>
        <family val="2"/>
        <charset val="134"/>
      </rPr>
      <t>･</t>
    </r>
    <r>
      <rPr>
        <sz val="11"/>
        <color theme="1"/>
        <rFont val="宋体"/>
        <family val="3"/>
        <charset val="134"/>
      </rPr>
      <t>m</t>
    </r>
    <phoneticPr fontId="2" type="noConversion"/>
  </si>
  <si>
    <t>β</t>
    <phoneticPr fontId="2" type="noConversion"/>
  </si>
  <si>
    <t>°</t>
    <phoneticPr fontId="2" type="noConversion"/>
  </si>
  <si>
    <t>水平夹角</t>
    <phoneticPr fontId="2" type="noConversion"/>
  </si>
  <si>
    <t>回转中心至后支腿距离</t>
    <phoneticPr fontId="2" type="noConversion"/>
  </si>
  <si>
    <t>X轴弯矩</t>
    <phoneticPr fontId="2" type="noConversion"/>
  </si>
  <si>
    <t>Y轴弯矩</t>
    <phoneticPr fontId="2" type="noConversion"/>
  </si>
  <si>
    <t>Mx</t>
    <phoneticPr fontId="2" type="noConversion"/>
  </si>
  <si>
    <t>My</t>
    <phoneticPr fontId="2" type="noConversion"/>
  </si>
  <si>
    <t>cosβ</t>
    <phoneticPr fontId="2" type="noConversion"/>
  </si>
  <si>
    <t>sinβ</t>
    <phoneticPr fontId="2" type="noConversion"/>
  </si>
  <si>
    <t>支腿1反力</t>
    <phoneticPr fontId="2" type="noConversion"/>
  </si>
  <si>
    <t>支腿2反力</t>
  </si>
  <si>
    <t>支腿3反力</t>
  </si>
  <si>
    <r>
      <t>N</t>
    </r>
    <r>
      <rPr>
        <vertAlign val="subscript"/>
        <sz val="11"/>
        <color theme="1"/>
        <rFont val="宋体"/>
        <family val="3"/>
        <charset val="134"/>
      </rPr>
      <t>1</t>
    </r>
    <phoneticPr fontId="2" type="noConversion"/>
  </si>
  <si>
    <r>
      <t>N</t>
    </r>
    <r>
      <rPr>
        <vertAlign val="subscript"/>
        <sz val="11"/>
        <color theme="1"/>
        <rFont val="宋体"/>
        <family val="3"/>
        <charset val="134"/>
      </rPr>
      <t>2</t>
    </r>
    <r>
      <rPr>
        <sz val="11"/>
        <color theme="1"/>
        <rFont val="等线"/>
        <family val="2"/>
        <charset val="134"/>
        <scheme val="minor"/>
      </rPr>
      <t/>
    </r>
  </si>
  <si>
    <r>
      <t>N</t>
    </r>
    <r>
      <rPr>
        <vertAlign val="subscript"/>
        <sz val="11"/>
        <color theme="1"/>
        <rFont val="宋体"/>
        <family val="3"/>
        <charset val="134"/>
      </rPr>
      <t>3</t>
    </r>
    <r>
      <rPr>
        <sz val="11"/>
        <color theme="1"/>
        <rFont val="等线"/>
        <family val="2"/>
        <charset val="134"/>
        <scheme val="minor"/>
      </rPr>
      <t/>
    </r>
  </si>
  <si>
    <r>
      <t>N</t>
    </r>
    <r>
      <rPr>
        <vertAlign val="subscript"/>
        <sz val="11"/>
        <color theme="1"/>
        <rFont val="宋体"/>
        <family val="3"/>
        <charset val="134"/>
      </rPr>
      <t>4</t>
    </r>
    <r>
      <rPr>
        <sz val="11"/>
        <color theme="1"/>
        <rFont val="等线"/>
        <family val="2"/>
        <charset val="134"/>
        <scheme val="minor"/>
      </rPr>
      <t/>
    </r>
  </si>
  <si>
    <t>公式</t>
    <phoneticPr fontId="2" type="noConversion"/>
  </si>
  <si>
    <t>C</t>
    <phoneticPr fontId="2" type="noConversion"/>
  </si>
  <si>
    <t>D</t>
    <phoneticPr fontId="2" type="noConversion"/>
  </si>
  <si>
    <r>
      <t>MX=M*COS</t>
    </r>
    <r>
      <rPr>
        <sz val="11"/>
        <color theme="1"/>
        <rFont val="Arial Unicode MS"/>
        <family val="2"/>
        <charset val="134"/>
      </rPr>
      <t>β</t>
    </r>
    <phoneticPr fontId="2" type="noConversion"/>
  </si>
  <si>
    <r>
      <t>MY=M*SIN</t>
    </r>
    <r>
      <rPr>
        <sz val="11"/>
        <color theme="1"/>
        <rFont val="Arial Unicode MS"/>
        <family val="2"/>
        <charset val="134"/>
      </rPr>
      <t>β</t>
    </r>
    <phoneticPr fontId="2" type="noConversion"/>
  </si>
  <si>
    <t>支腿4反力</t>
    <phoneticPr fontId="2" type="noConversion"/>
  </si>
  <si>
    <t>支腿纵向距离</t>
    <phoneticPr fontId="2" type="noConversion"/>
  </si>
  <si>
    <t>最大地面压强</t>
    <phoneticPr fontId="2" type="noConversion"/>
  </si>
  <si>
    <t>P</t>
    <phoneticPr fontId="2" type="noConversion"/>
  </si>
  <si>
    <t>S</t>
    <phoneticPr fontId="2" type="noConversion"/>
  </si>
  <si>
    <t>P=N/S</t>
    <phoneticPr fontId="2" type="noConversion"/>
  </si>
  <si>
    <r>
      <t>m</t>
    </r>
    <r>
      <rPr>
        <vertAlign val="superscript"/>
        <sz val="11"/>
        <color theme="1"/>
        <rFont val="宋体"/>
        <family val="3"/>
        <charset val="134"/>
      </rPr>
      <t>2</t>
    </r>
    <phoneticPr fontId="2" type="noConversion"/>
  </si>
  <si>
    <t>Kpa</t>
    <phoneticPr fontId="2" type="noConversion"/>
  </si>
  <si>
    <t>S=a*b</t>
    <phoneticPr fontId="2" type="noConversion"/>
  </si>
  <si>
    <t>水平夹角余弦值</t>
    <phoneticPr fontId="2" type="noConversion"/>
  </si>
  <si>
    <t>水平夹角正弦值</t>
    <phoneticPr fontId="2" type="noConversion"/>
  </si>
  <si>
    <t>H</t>
    <phoneticPr fontId="2" type="noConversion"/>
  </si>
  <si>
    <t>KG</t>
    <phoneticPr fontId="2" type="noConversion"/>
  </si>
  <si>
    <t>自重加权系数</t>
    <phoneticPr fontId="2" type="noConversion"/>
  </si>
  <si>
    <t>起升荷载加权系数</t>
    <phoneticPr fontId="2" type="noConversion"/>
  </si>
  <si>
    <t>KQ</t>
    <phoneticPr fontId="2" type="noConversion"/>
  </si>
  <si>
    <t>风荷载加权系数</t>
    <phoneticPr fontId="2" type="noConversion"/>
  </si>
  <si>
    <t>KW</t>
    <phoneticPr fontId="2" type="noConversion"/>
  </si>
  <si>
    <t>MG</t>
    <phoneticPr fontId="2" type="noConversion"/>
  </si>
  <si>
    <t>MQ</t>
    <phoneticPr fontId="2" type="noConversion"/>
  </si>
  <si>
    <t>MW</t>
    <phoneticPr fontId="2" type="noConversion"/>
  </si>
  <si>
    <t>起升荷载对倾覆边的力矩</t>
    <phoneticPr fontId="2" type="noConversion"/>
  </si>
  <si>
    <t>风荷载对倾覆边的力矩</t>
    <phoneticPr fontId="2" type="noConversion"/>
  </si>
  <si>
    <t>a</t>
    <phoneticPr fontId="2" type="noConversion"/>
  </si>
  <si>
    <t>汽车吊重心至支脚倾覆支点的距离</t>
    <phoneticPr fontId="2" type="noConversion"/>
  </si>
  <si>
    <t>G</t>
    <phoneticPr fontId="2" type="noConversion"/>
  </si>
  <si>
    <t>Q</t>
    <phoneticPr fontId="2" type="noConversion"/>
  </si>
  <si>
    <t>R</t>
    <phoneticPr fontId="2" type="noConversion"/>
  </si>
  <si>
    <t>风动载合力点高度</t>
    <phoneticPr fontId="2" type="noConversion"/>
  </si>
  <si>
    <t>风荷载</t>
    <phoneticPr fontId="2" type="noConversion"/>
  </si>
  <si>
    <t>W</t>
    <phoneticPr fontId="2" type="noConversion"/>
  </si>
  <si>
    <t>W=20%*Q</t>
    <phoneticPr fontId="2" type="noConversion"/>
  </si>
  <si>
    <t>MQ=Q*g*(R-a)</t>
    <phoneticPr fontId="2" type="noConversion"/>
  </si>
  <si>
    <t>MW=W*H</t>
    <phoneticPr fontId="2" type="noConversion"/>
  </si>
  <si>
    <t>倾覆边合力矩</t>
    <phoneticPr fontId="2" type="noConversion"/>
  </si>
  <si>
    <t>M=KG*MG+KQ*MQ+KW*MW</t>
    <phoneticPr fontId="2" type="noConversion"/>
  </si>
  <si>
    <t>汽车吊总重对倾覆边的力矩</t>
    <phoneticPr fontId="2" type="noConversion"/>
  </si>
  <si>
    <t>MG=G*g*a+G1*g*(a+C)</t>
    <phoneticPr fontId="2" type="noConversion"/>
  </si>
  <si>
    <t>结果判断</t>
    <phoneticPr fontId="2" type="noConversion"/>
  </si>
  <si>
    <t>路基箱面积</t>
    <phoneticPr fontId="2" type="noConversion"/>
  </si>
  <si>
    <t>最大支腿反力</t>
    <phoneticPr fontId="2" type="noConversion"/>
  </si>
  <si>
    <t>G3</t>
    <phoneticPr fontId="2" type="noConversion"/>
  </si>
  <si>
    <t>汽车吊吊臂自重</t>
    <phoneticPr fontId="2" type="noConversion"/>
  </si>
  <si>
    <t>汽车吊吊臂重心至回转重心距离</t>
    <phoneticPr fontId="2" type="noConversion"/>
  </si>
  <si>
    <t>E</t>
    <phoneticPr fontId="2" type="noConversion"/>
  </si>
  <si>
    <t>汽车吊自重(扣除吊臂重量）</t>
    <phoneticPr fontId="2" type="noConversion"/>
  </si>
  <si>
    <t>F=G0+G1+G2+G3</t>
    <phoneticPr fontId="2" type="noConversion"/>
  </si>
  <si>
    <t>M=G1*L1*g-G2*C*g+G3*E*g</t>
    <phoneticPr fontId="2" type="noConversion"/>
  </si>
  <si>
    <t>汽车吊</t>
    <phoneticPr fontId="2" type="noConversion"/>
  </si>
  <si>
    <t>N1=DF/2/A-Mx/2/A +My/2/B</t>
    <phoneticPr fontId="2" type="noConversion"/>
  </si>
  <si>
    <t>N2=(A-D)F/2/A+Mx/2/A +My/2/B</t>
    <phoneticPr fontId="2" type="noConversion"/>
  </si>
  <si>
    <t>N3=DF/2/A-Mx/2/A -My/2/B</t>
    <phoneticPr fontId="2" type="noConversion"/>
  </si>
  <si>
    <t>N4=(A-D)F/2/A+Mx/2/A -My/2/B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</si>
</sst>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 "/>
    <numFmt numFmtId="178" formatCode="0.0_ "/>
    <numFmt numFmtId="179" formatCode="0_);[Red]\(0\)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vertAlign val="superscript"/>
      <sz val="11"/>
      <color theme="1"/>
      <name val="宋体"/>
      <family val="3"/>
      <charset val="134"/>
    </font>
    <font>
      <sz val="11"/>
      <color theme="1"/>
      <name val="Arial Unicode MS"/>
      <family val="2"/>
      <charset val="134"/>
    </font>
    <font>
      <vertAlign val="subscript"/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Alignment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6" fontId="4" fillId="9" borderId="0" xfId="0" applyNumberFormat="1" applyFont="1" applyFill="1" applyAlignment="1">
      <alignment horizontal="center" vertical="center"/>
    </xf>
    <xf numFmtId="177" fontId="4" fillId="8" borderId="1" xfId="0" applyNumberFormat="1" applyFont="1" applyFill="1" applyBorder="1" applyAlignment="1" applyProtection="1">
      <alignment horizontal="center" vertical="center"/>
      <protection locked="0"/>
    </xf>
    <xf numFmtId="176" fontId="4" fillId="8" borderId="1" xfId="0" applyNumberFormat="1" applyFont="1" applyFill="1" applyBorder="1" applyAlignment="1" applyProtection="1">
      <alignment horizontal="center" vertical="center"/>
      <protection locked="0"/>
    </xf>
    <xf numFmtId="178" fontId="4" fillId="8" borderId="1" xfId="0" applyNumberFormat="1" applyFont="1" applyFill="1" applyBorder="1" applyAlignment="1" applyProtection="1">
      <alignment horizontal="center" vertical="center"/>
      <protection locked="0"/>
    </xf>
    <xf numFmtId="179" fontId="4" fillId="8" borderId="1" xfId="0" applyNumberFormat="1" applyFont="1" applyFill="1" applyBorder="1" applyAlignment="1" applyProtection="1">
      <alignment horizontal="center" vertical="center"/>
      <protection locked="0"/>
    </xf>
    <xf numFmtId="176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314325</xdr:colOff>
      <xdr:row>4</xdr:row>
      <xdr:rowOff>76200</xdr:rowOff>
    </xdr:from>
    <xdr:to>
      <xdr:col>16</xdr:col>
      <xdr:colOff>445135</xdr:colOff>
      <xdr:row>13</xdr:row>
      <xdr:rowOff>137795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DE20AB4-C189-0259-8AA5-D1487AB68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8759"/>
        <a:stretch>
          <a:fillRect/>
        </a:stretch>
      </xdr:blipFill>
      <xdr:spPr>
        <a:xfrm>
          <a:off x="10544175" y="762000"/>
          <a:ext cx="4245610" cy="2376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523875</xdr:colOff>
      <xdr:row>7</xdr:row>
      <xdr:rowOff>209550</xdr:rowOff>
    </xdr:from>
    <xdr:to>
      <xdr:col>12</xdr:col>
      <xdr:colOff>638175</xdr:colOff>
      <xdr:row>21</xdr:row>
      <xdr:rowOff>186690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DC3A593-44A9-4EB5-9E24-C64C075F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91550" y="1952625"/>
          <a:ext cx="3543300" cy="34442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51F8-2C31-4843-ABC7-E919CB589B51}">
  <sheetPr codeName="Sheet2"/>
  <dimension ref="D5:H25"/>
  <sheetViews>
    <sheetView tabSelected="1" workbookViewId="0">
      <selection activeCell="L18" sqref="L18"/>
    </sheetView>
  </sheetViews>
  <sheetFormatPr defaultRowHeight="13.5" x14ac:dyDescent="0.2"/>
  <cols>
    <col min="1" max="3" width="9" style="4"/>
    <col min="4" max="4" width="33.75" style="4" customWidth="1"/>
    <col min="5" max="5" width="9" style="4"/>
    <col min="6" max="6" width="23.875" style="4" customWidth="1"/>
    <col min="7" max="7" width="10.625" style="4" customWidth="1"/>
    <col min="8" max="8" width="12" style="4" customWidth="1"/>
    <col min="9" max="16384" width="9" style="4"/>
  </cols>
  <sheetData>
    <row r="5" spans="4:8" ht="26.25" customHeight="1" x14ac:dyDescent="0.2">
      <c r="D5" s="5" t="s">
        <v>5</v>
      </c>
      <c r="E5" s="5" t="s">
        <v>2</v>
      </c>
      <c r="F5" s="5" t="s">
        <v>44</v>
      </c>
      <c r="G5" s="5" t="s">
        <v>3</v>
      </c>
      <c r="H5" s="5" t="s">
        <v>4</v>
      </c>
    </row>
    <row r="6" spans="4:8" ht="20.100000000000001" customHeight="1" x14ac:dyDescent="0.2">
      <c r="D6" s="6" t="s">
        <v>0</v>
      </c>
      <c r="E6" s="7" t="s">
        <v>74</v>
      </c>
      <c r="F6" s="8"/>
      <c r="G6" s="21">
        <v>72</v>
      </c>
      <c r="H6" s="9" t="s">
        <v>17</v>
      </c>
    </row>
    <row r="7" spans="4:8" ht="20.100000000000001" customHeight="1" x14ac:dyDescent="0.2">
      <c r="D7" s="6" t="s">
        <v>6</v>
      </c>
      <c r="E7" s="7" t="s">
        <v>75</v>
      </c>
      <c r="F7" s="8"/>
      <c r="G7" s="21">
        <v>27</v>
      </c>
      <c r="H7" s="9" t="s">
        <v>17</v>
      </c>
    </row>
    <row r="8" spans="4:8" ht="20.100000000000001" customHeight="1" x14ac:dyDescent="0.2">
      <c r="D8" s="14" t="s">
        <v>13</v>
      </c>
      <c r="E8" s="7" t="s">
        <v>7</v>
      </c>
      <c r="F8" s="8"/>
      <c r="G8" s="21">
        <v>100</v>
      </c>
      <c r="H8" s="9" t="s">
        <v>17</v>
      </c>
    </row>
    <row r="9" spans="4:8" ht="20.100000000000001" customHeight="1" x14ac:dyDescent="0.2">
      <c r="D9" s="14" t="s">
        <v>78</v>
      </c>
      <c r="E9" s="7" t="s">
        <v>79</v>
      </c>
      <c r="F9" s="8" t="s">
        <v>80</v>
      </c>
      <c r="G9" s="19">
        <f>G7*0.2*G14</f>
        <v>52.920000000000009</v>
      </c>
      <c r="H9" s="9" t="s">
        <v>19</v>
      </c>
    </row>
    <row r="10" spans="4:8" ht="20.100000000000001" customHeight="1" x14ac:dyDescent="0.2">
      <c r="D10" s="14" t="s">
        <v>8</v>
      </c>
      <c r="E10" s="7" t="s">
        <v>76</v>
      </c>
      <c r="F10" s="8"/>
      <c r="G10" s="20">
        <v>20</v>
      </c>
      <c r="H10" s="9" t="s">
        <v>18</v>
      </c>
    </row>
    <row r="11" spans="4:8" ht="20.100000000000001" customHeight="1" x14ac:dyDescent="0.2">
      <c r="D11" s="14" t="s">
        <v>77</v>
      </c>
      <c r="E11" s="7" t="s">
        <v>60</v>
      </c>
      <c r="F11" s="8"/>
      <c r="G11" s="20">
        <v>22</v>
      </c>
      <c r="H11" s="9" t="s">
        <v>18</v>
      </c>
    </row>
    <row r="12" spans="4:8" ht="20.100000000000001" customHeight="1" x14ac:dyDescent="0.2">
      <c r="D12" s="14" t="s">
        <v>73</v>
      </c>
      <c r="E12" s="7" t="s">
        <v>72</v>
      </c>
      <c r="F12" s="8"/>
      <c r="G12" s="19">
        <v>4.3</v>
      </c>
      <c r="H12" s="9" t="s">
        <v>18</v>
      </c>
    </row>
    <row r="13" spans="4:8" ht="20.100000000000001" customHeight="1" x14ac:dyDescent="0.2">
      <c r="D13" s="14" t="s">
        <v>25</v>
      </c>
      <c r="E13" s="7" t="s">
        <v>45</v>
      </c>
      <c r="F13" s="8"/>
      <c r="G13" s="19">
        <v>5.75</v>
      </c>
      <c r="H13" s="9" t="s">
        <v>18</v>
      </c>
    </row>
    <row r="14" spans="4:8" ht="20.100000000000001" customHeight="1" x14ac:dyDescent="0.2">
      <c r="D14" s="14" t="s">
        <v>20</v>
      </c>
      <c r="E14" s="7" t="s">
        <v>21</v>
      </c>
      <c r="F14" s="8"/>
      <c r="G14" s="19">
        <v>9.8000000000000007</v>
      </c>
      <c r="H14" s="9" t="s">
        <v>22</v>
      </c>
    </row>
    <row r="15" spans="4:8" ht="20.100000000000001" customHeight="1" x14ac:dyDescent="0.2">
      <c r="D15" s="14" t="s">
        <v>62</v>
      </c>
      <c r="E15" s="7" t="s">
        <v>61</v>
      </c>
      <c r="F15" s="8"/>
      <c r="G15" s="19">
        <v>1</v>
      </c>
      <c r="H15" s="9"/>
    </row>
    <row r="16" spans="4:8" ht="20.100000000000001" customHeight="1" x14ac:dyDescent="0.2">
      <c r="D16" s="14" t="s">
        <v>63</v>
      </c>
      <c r="E16" s="7" t="s">
        <v>64</v>
      </c>
      <c r="F16" s="8"/>
      <c r="G16" s="19">
        <v>1.1499999999999999</v>
      </c>
      <c r="H16" s="9"/>
    </row>
    <row r="17" spans="4:8" ht="20.100000000000001" customHeight="1" x14ac:dyDescent="0.2">
      <c r="D17" s="14" t="s">
        <v>65</v>
      </c>
      <c r="E17" s="7" t="s">
        <v>66</v>
      </c>
      <c r="F17" s="8"/>
      <c r="G17" s="19">
        <v>1</v>
      </c>
      <c r="H17" s="9"/>
    </row>
    <row r="18" spans="4:8" ht="20.100000000000001" customHeight="1" x14ac:dyDescent="0.2">
      <c r="D18" s="14" t="s">
        <v>85</v>
      </c>
      <c r="E18" s="7" t="s">
        <v>67</v>
      </c>
      <c r="F18" s="8" t="s">
        <v>86</v>
      </c>
      <c r="G18" s="22">
        <f>G6*G14*G12+G8*G14*(G12+G13)</f>
        <v>12883.080000000002</v>
      </c>
      <c r="H18" s="9" t="s">
        <v>26</v>
      </c>
    </row>
    <row r="19" spans="4:8" ht="20.100000000000001" customHeight="1" x14ac:dyDescent="0.2">
      <c r="D19" s="14" t="s">
        <v>70</v>
      </c>
      <c r="E19" s="7" t="s">
        <v>68</v>
      </c>
      <c r="F19" s="8" t="s">
        <v>81</v>
      </c>
      <c r="G19" s="22">
        <f>-G7*G14*(G10-G12)</f>
        <v>-4154.22</v>
      </c>
      <c r="H19" s="9" t="s">
        <v>26</v>
      </c>
    </row>
    <row r="20" spans="4:8" ht="20.100000000000001" customHeight="1" x14ac:dyDescent="0.2">
      <c r="D20" s="14" t="s">
        <v>71</v>
      </c>
      <c r="E20" s="7" t="s">
        <v>69</v>
      </c>
      <c r="F20" s="8" t="s">
        <v>82</v>
      </c>
      <c r="G20" s="22">
        <f>-G9*G11</f>
        <v>-1164.2400000000002</v>
      </c>
      <c r="H20" s="9" t="s">
        <v>26</v>
      </c>
    </row>
    <row r="21" spans="4:8" ht="26.25" customHeight="1" x14ac:dyDescent="0.2">
      <c r="D21" s="14" t="s">
        <v>83</v>
      </c>
      <c r="E21" s="7" t="s">
        <v>24</v>
      </c>
      <c r="F21" s="8" t="s">
        <v>84</v>
      </c>
      <c r="G21" s="22">
        <f>G18*G15+G19*G16+G20*G17</f>
        <v>6941.487000000001</v>
      </c>
      <c r="H21" s="9" t="s">
        <v>26</v>
      </c>
    </row>
    <row r="22" spans="4:8" ht="24" customHeight="1" x14ac:dyDescent="0.2">
      <c r="D22" s="24" t="s">
        <v>87</v>
      </c>
      <c r="E22" s="25"/>
      <c r="F22" s="26"/>
      <c r="G22" s="23" t="str">
        <f>IF(G21&gt;0,"满足要求","不满足要求")</f>
        <v>满足要求</v>
      </c>
      <c r="H22" s="23"/>
    </row>
    <row r="25" spans="4:8" ht="18.75" customHeight="1" x14ac:dyDescent="0.2"/>
  </sheetData>
  <mergeCells count="2">
    <mergeCell ref="G22:H22"/>
    <mergeCell ref="D22:F2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DFBC-B143-4519-82B9-D16697ADBD27}">
  <dimension ref="C2:G28"/>
  <sheetViews>
    <sheetView workbookViewId="0">
      <selection activeCell="P17" sqref="P17"/>
    </sheetView>
  </sheetViews>
  <sheetFormatPr defaultRowHeight="13.5" x14ac:dyDescent="0.2"/>
  <cols>
    <col min="1" max="2" width="9" style="1"/>
    <col min="3" max="3" width="31" style="1" customWidth="1"/>
    <col min="4" max="4" width="7.875" style="1" customWidth="1"/>
    <col min="5" max="5" width="30.125" style="1" customWidth="1"/>
    <col min="6" max="6" width="12.25" style="1" customWidth="1"/>
    <col min="7" max="16384" width="9" style="1"/>
  </cols>
  <sheetData>
    <row r="2" spans="3:7" ht="26.25" customHeight="1" x14ac:dyDescent="0.2">
      <c r="C2" s="5" t="s">
        <v>5</v>
      </c>
      <c r="D2" s="5" t="s">
        <v>2</v>
      </c>
      <c r="E2" s="5" t="s">
        <v>44</v>
      </c>
      <c r="F2" s="5" t="s">
        <v>3</v>
      </c>
      <c r="G2" s="5" t="s">
        <v>4</v>
      </c>
    </row>
    <row r="3" spans="3:7" ht="22.5" customHeight="1" x14ac:dyDescent="0.2">
      <c r="C3" s="2" t="s">
        <v>97</v>
      </c>
      <c r="D3" s="2"/>
      <c r="E3" s="2"/>
      <c r="F3" s="18">
        <v>50</v>
      </c>
      <c r="G3" s="2" t="s">
        <v>17</v>
      </c>
    </row>
    <row r="4" spans="3:7" ht="26.25" customHeight="1" x14ac:dyDescent="0.2">
      <c r="C4" s="6" t="s">
        <v>91</v>
      </c>
      <c r="D4" s="7" t="s">
        <v>90</v>
      </c>
      <c r="E4" s="8"/>
      <c r="F4" s="2">
        <v>10</v>
      </c>
      <c r="G4" s="9" t="s">
        <v>17</v>
      </c>
    </row>
    <row r="5" spans="3:7" s="3" customFormat="1" ht="22.5" customHeight="1" x14ac:dyDescent="0.2">
      <c r="C5" s="6" t="s">
        <v>92</v>
      </c>
      <c r="D5" s="7" t="s">
        <v>93</v>
      </c>
      <c r="E5" s="8"/>
      <c r="F5" s="2">
        <v>4</v>
      </c>
      <c r="G5" s="9" t="s">
        <v>18</v>
      </c>
    </row>
    <row r="6" spans="3:7" ht="20.100000000000001" customHeight="1" x14ac:dyDescent="0.2">
      <c r="C6" s="6" t="s">
        <v>94</v>
      </c>
      <c r="D6" s="7" t="s">
        <v>1</v>
      </c>
      <c r="E6" s="8"/>
      <c r="F6" s="2">
        <v>31</v>
      </c>
      <c r="G6" s="9" t="s">
        <v>17</v>
      </c>
    </row>
    <row r="7" spans="3:7" ht="20.100000000000001" customHeight="1" x14ac:dyDescent="0.2">
      <c r="C7" s="6" t="s">
        <v>6</v>
      </c>
      <c r="D7" s="7" t="s">
        <v>7</v>
      </c>
      <c r="E7" s="8"/>
      <c r="F7" s="2">
        <v>6.02</v>
      </c>
      <c r="G7" s="9" t="s">
        <v>17</v>
      </c>
    </row>
    <row r="8" spans="3:7" ht="20.100000000000001" customHeight="1" x14ac:dyDescent="0.2">
      <c r="C8" s="14" t="s">
        <v>13</v>
      </c>
      <c r="D8" s="7" t="s">
        <v>14</v>
      </c>
      <c r="E8" s="8"/>
      <c r="F8" s="2">
        <v>8</v>
      </c>
      <c r="G8" s="9" t="s">
        <v>17</v>
      </c>
    </row>
    <row r="9" spans="3:7" ht="20.100000000000001" customHeight="1" x14ac:dyDescent="0.2">
      <c r="C9" s="14" t="s">
        <v>8</v>
      </c>
      <c r="D9" s="7" t="s">
        <v>9</v>
      </c>
      <c r="E9" s="8"/>
      <c r="F9" s="2">
        <v>10</v>
      </c>
      <c r="G9" s="9" t="s">
        <v>18</v>
      </c>
    </row>
    <row r="10" spans="3:7" ht="20.100000000000001" customHeight="1" x14ac:dyDescent="0.2">
      <c r="C10" s="14" t="s">
        <v>50</v>
      </c>
      <c r="D10" s="7" t="s">
        <v>10</v>
      </c>
      <c r="E10" s="8"/>
      <c r="F10" s="2">
        <v>5.92</v>
      </c>
      <c r="G10" s="9" t="s">
        <v>18</v>
      </c>
    </row>
    <row r="11" spans="3:7" ht="20.100000000000001" customHeight="1" x14ac:dyDescent="0.2">
      <c r="C11" s="14" t="s">
        <v>12</v>
      </c>
      <c r="D11" s="7" t="s">
        <v>11</v>
      </c>
      <c r="E11" s="8"/>
      <c r="F11" s="2">
        <v>6.9</v>
      </c>
      <c r="G11" s="9" t="s">
        <v>18</v>
      </c>
    </row>
    <row r="12" spans="3:7" ht="20.100000000000001" customHeight="1" x14ac:dyDescent="0.2">
      <c r="C12" s="14" t="s">
        <v>25</v>
      </c>
      <c r="D12" s="7" t="s">
        <v>45</v>
      </c>
      <c r="E12" s="8"/>
      <c r="F12" s="2">
        <v>0</v>
      </c>
      <c r="G12" s="9" t="s">
        <v>18</v>
      </c>
    </row>
    <row r="13" spans="3:7" ht="20.100000000000001" customHeight="1" x14ac:dyDescent="0.2">
      <c r="C13" s="14" t="s">
        <v>20</v>
      </c>
      <c r="D13" s="7" t="s">
        <v>21</v>
      </c>
      <c r="E13" s="8"/>
      <c r="F13" s="2">
        <v>9.8000000000000007</v>
      </c>
      <c r="G13" s="9" t="s">
        <v>22</v>
      </c>
    </row>
    <row r="14" spans="3:7" ht="20.100000000000001" customHeight="1" x14ac:dyDescent="0.2">
      <c r="C14" s="6" t="s">
        <v>15</v>
      </c>
      <c r="D14" s="7" t="s">
        <v>16</v>
      </c>
      <c r="E14" s="8" t="s">
        <v>95</v>
      </c>
      <c r="F14" s="10">
        <f>(F6+F7+F8+F4)*F13</f>
        <v>539.19600000000003</v>
      </c>
      <c r="G14" s="9" t="s">
        <v>19</v>
      </c>
    </row>
    <row r="15" spans="3:7" ht="20.100000000000001" customHeight="1" x14ac:dyDescent="0.2">
      <c r="C15" s="6" t="s">
        <v>23</v>
      </c>
      <c r="D15" s="7" t="s">
        <v>24</v>
      </c>
      <c r="E15" s="8" t="s">
        <v>96</v>
      </c>
      <c r="F15" s="10">
        <f>F9*F7*F13-F8*F13*F12+F4*F5*F13</f>
        <v>981.96</v>
      </c>
      <c r="G15" s="9" t="s">
        <v>26</v>
      </c>
    </row>
    <row r="16" spans="3:7" ht="20.100000000000001" customHeight="1" x14ac:dyDescent="0.2">
      <c r="C16" s="6" t="s">
        <v>30</v>
      </c>
      <c r="D16" s="7" t="s">
        <v>46</v>
      </c>
      <c r="E16" s="8"/>
      <c r="F16" s="2">
        <v>2.9</v>
      </c>
      <c r="G16" s="9" t="s">
        <v>18</v>
      </c>
    </row>
    <row r="17" spans="3:7" ht="20.100000000000001" customHeight="1" x14ac:dyDescent="0.2">
      <c r="C17" s="6" t="s">
        <v>29</v>
      </c>
      <c r="D17" s="11" t="s">
        <v>27</v>
      </c>
      <c r="E17" s="12"/>
      <c r="F17" s="15">
        <f>DEGREES(ATAN(F11/2/F16))</f>
        <v>49.950272234291745</v>
      </c>
      <c r="G17" s="9" t="s">
        <v>28</v>
      </c>
    </row>
    <row r="18" spans="3:7" ht="20.100000000000001" customHeight="1" x14ac:dyDescent="0.2">
      <c r="C18" s="6" t="s">
        <v>58</v>
      </c>
      <c r="D18" s="11" t="s">
        <v>35</v>
      </c>
      <c r="E18" s="12"/>
      <c r="F18" s="15">
        <f>COS(F17*PI()/180)</f>
        <v>0.64345222762126586</v>
      </c>
      <c r="G18" s="9"/>
    </row>
    <row r="19" spans="3:7" ht="20.100000000000001" customHeight="1" x14ac:dyDescent="0.2">
      <c r="C19" s="6" t="s">
        <v>59</v>
      </c>
      <c r="D19" s="11" t="s">
        <v>36</v>
      </c>
      <c r="E19" s="12"/>
      <c r="F19" s="15">
        <f>SIN(F17*PI()/180)</f>
        <v>0.7654862707908161</v>
      </c>
      <c r="G19" s="9"/>
    </row>
    <row r="20" spans="3:7" ht="20.100000000000001" customHeight="1" x14ac:dyDescent="0.2">
      <c r="C20" s="6" t="s">
        <v>31</v>
      </c>
      <c r="D20" s="7" t="s">
        <v>33</v>
      </c>
      <c r="E20" s="8" t="s">
        <v>47</v>
      </c>
      <c r="F20" s="13">
        <f>F15*F18</f>
        <v>631.8443494349782</v>
      </c>
      <c r="G20" s="9" t="s">
        <v>26</v>
      </c>
    </row>
    <row r="21" spans="3:7" ht="20.100000000000001" customHeight="1" x14ac:dyDescent="0.2">
      <c r="C21" s="6" t="s">
        <v>32</v>
      </c>
      <c r="D21" s="7" t="s">
        <v>34</v>
      </c>
      <c r="E21" s="8" t="s">
        <v>48</v>
      </c>
      <c r="F21" s="13">
        <f>F15*F19</f>
        <v>751.67689846574979</v>
      </c>
      <c r="G21" s="9" t="s">
        <v>26</v>
      </c>
    </row>
    <row r="22" spans="3:7" ht="20.100000000000001" customHeight="1" x14ac:dyDescent="0.2">
      <c r="C22" s="6" t="s">
        <v>37</v>
      </c>
      <c r="D22" s="7" t="s">
        <v>40</v>
      </c>
      <c r="E22" s="16" t="s">
        <v>98</v>
      </c>
      <c r="F22" s="13">
        <f>F16*F14/2/F10-F20/2/F10+F21/2/F11</f>
        <v>133.17069609057836</v>
      </c>
      <c r="G22" s="9" t="s">
        <v>19</v>
      </c>
    </row>
    <row r="23" spans="3:7" ht="20.100000000000001" customHeight="1" x14ac:dyDescent="0.2">
      <c r="C23" s="6" t="s">
        <v>38</v>
      </c>
      <c r="D23" s="7" t="s">
        <v>41</v>
      </c>
      <c r="E23" s="16" t="s">
        <v>99</v>
      </c>
      <c r="F23" s="13">
        <f>(F10-F16)*F14/2/F10+F20/2/F10+F21/2/F11</f>
        <v>245.36598484648681</v>
      </c>
      <c r="G23" s="9" t="s">
        <v>19</v>
      </c>
    </row>
    <row r="24" spans="3:7" ht="20.100000000000001" customHeight="1" x14ac:dyDescent="0.2">
      <c r="C24" s="6" t="s">
        <v>39</v>
      </c>
      <c r="D24" s="7" t="s">
        <v>42</v>
      </c>
      <c r="E24" s="16" t="s">
        <v>100</v>
      </c>
      <c r="F24" s="13">
        <f>F16*F14/2/F10-F20/2/F10-F21/2/F11</f>
        <v>24.23201515351316</v>
      </c>
      <c r="G24" s="9" t="s">
        <v>19</v>
      </c>
    </row>
    <row r="25" spans="3:7" ht="20.100000000000001" customHeight="1" x14ac:dyDescent="0.2">
      <c r="C25" s="6" t="s">
        <v>49</v>
      </c>
      <c r="D25" s="7" t="s">
        <v>43</v>
      </c>
      <c r="E25" s="16" t="s">
        <v>101</v>
      </c>
      <c r="F25" s="13">
        <f>(F10-F16)*F14/2/F10+F20/2/F10-F21/2/F11</f>
        <v>136.42730390942165</v>
      </c>
      <c r="G25" s="9" t="s">
        <v>19</v>
      </c>
    </row>
    <row r="26" spans="3:7" ht="27" customHeight="1" x14ac:dyDescent="0.2">
      <c r="C26" s="6" t="s">
        <v>88</v>
      </c>
      <c r="D26" s="7" t="s">
        <v>53</v>
      </c>
      <c r="E26" s="16" t="s">
        <v>57</v>
      </c>
      <c r="F26" s="2">
        <v>4</v>
      </c>
      <c r="G26" s="9" t="s">
        <v>55</v>
      </c>
    </row>
    <row r="27" spans="3:7" ht="24.75" customHeight="1" x14ac:dyDescent="0.2">
      <c r="C27" s="6" t="s">
        <v>51</v>
      </c>
      <c r="D27" s="7" t="s">
        <v>52</v>
      </c>
      <c r="E27" s="16" t="s">
        <v>54</v>
      </c>
      <c r="F27" s="13">
        <f>F28/F26</f>
        <v>61.341496211621703</v>
      </c>
      <c r="G27" s="9" t="s">
        <v>56</v>
      </c>
    </row>
    <row r="28" spans="3:7" ht="21.75" customHeight="1" x14ac:dyDescent="0.2">
      <c r="E28" s="16" t="s">
        <v>89</v>
      </c>
      <c r="F28" s="17">
        <f>MAX(F22:F25)</f>
        <v>245.36598484648681</v>
      </c>
    </row>
  </sheetData>
  <sheetProtection selectLockedCells="1"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汽车吊抗倾覆验算</vt:lpstr>
      <vt:lpstr>汽车吊支腿反力计算表格修正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Julian Zhao</cp:lastModifiedBy>
  <dcterms:created xsi:type="dcterms:W3CDTF">2015-06-05T18:17:20Z</dcterms:created>
  <dcterms:modified xsi:type="dcterms:W3CDTF">2026-07-14T05:57:53Z</dcterms:modified>
</cp:coreProperties>
</file>